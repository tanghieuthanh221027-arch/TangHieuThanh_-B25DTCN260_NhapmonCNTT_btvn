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CDFC4E5F-9922-4557-BEE1-171FFDDEE1D9}" xr6:coauthVersionLast="47" xr6:coauthVersionMax="47" xr10:uidLastSave="{00000000-0000-0000-0000-000000000000}"/>
  <bookViews>
    <workbookView xWindow="-108" yWindow="-108" windowWidth="23256" windowHeight="12456" xr2:uid="{171F579F-6709-45BB-BF65-9CC74AB68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18" i="1"/>
  <c r="D20" i="1"/>
  <c r="D19" i="1"/>
  <c r="D17" i="1"/>
  <c r="D16" i="1"/>
  <c r="D15" i="1"/>
  <c r="D14" i="1"/>
  <c r="D13" i="1"/>
  <c r="D12" i="1"/>
  <c r="D11" i="1"/>
  <c r="D10" i="1"/>
  <c r="D9" i="1"/>
  <c r="D8" i="1"/>
  <c r="D7" i="1"/>
  <c r="D5" i="1"/>
  <c r="D6" i="1"/>
  <c r="D4" i="1"/>
  <c r="D3" i="1"/>
  <c r="D2" i="1"/>
</calcChain>
</file>

<file path=xl/sharedStrings.xml><?xml version="1.0" encoding="utf-8"?>
<sst xmlns="http://schemas.openxmlformats.org/spreadsheetml/2006/main" count="91" uniqueCount="57">
  <si>
    <t>STT</t>
  </si>
  <si>
    <t xml:space="preserve">Họ tên </t>
  </si>
  <si>
    <t xml:space="preserve">MSSV </t>
  </si>
  <si>
    <t xml:space="preserve">Email </t>
  </si>
  <si>
    <t>Lớp</t>
  </si>
  <si>
    <t>Giờ học/tuần</t>
  </si>
  <si>
    <t>Bài tập nộp</t>
  </si>
  <si>
    <t>Tổng giờ</t>
  </si>
  <si>
    <t>Điểm TB</t>
  </si>
  <si>
    <t>Đánh giá</t>
  </si>
  <si>
    <t>Mô tả học tập</t>
  </si>
  <si>
    <t xml:space="preserve">Nguyễn Văn A </t>
  </si>
  <si>
    <t xml:space="preserve">Trần Thị B </t>
  </si>
  <si>
    <t xml:space="preserve">Lê Minh C </t>
  </si>
  <si>
    <t xml:space="preserve">Phạm Hữu D </t>
  </si>
  <si>
    <t xml:space="preserve">Võ Hoàng E </t>
  </si>
  <si>
    <t xml:space="preserve">Nguyễn Mai F </t>
  </si>
  <si>
    <t xml:space="preserve">Lưu Hương G </t>
  </si>
  <si>
    <t xml:space="preserve">Tô Văn H </t>
  </si>
  <si>
    <t xml:space="preserve">Phan Quốc I </t>
  </si>
  <si>
    <t xml:space="preserve">Đào Quỳnh J </t>
  </si>
  <si>
    <t xml:space="preserve">Nguyễn Khánh H </t>
  </si>
  <si>
    <t xml:space="preserve">Trịnh Hữu L </t>
  </si>
  <si>
    <t xml:space="preserve">Mai Hoàng M </t>
  </si>
  <si>
    <t xml:space="preserve">Hồ Thanh N </t>
  </si>
  <si>
    <t>Vũ Bảo O</t>
  </si>
  <si>
    <t>Lê Hữu P</t>
  </si>
  <si>
    <t xml:space="preserve">Đình Mai Q </t>
  </si>
  <si>
    <t xml:space="preserve">Trần Văn R </t>
  </si>
  <si>
    <t xml:space="preserve">Phạm Thị S </t>
  </si>
  <si>
    <t xml:space="preserve">Nguyễn Xuân T </t>
  </si>
  <si>
    <t>KS24A</t>
  </si>
  <si>
    <t>KS24B</t>
  </si>
  <si>
    <t>KS24C</t>
  </si>
  <si>
    <t>Tốt</t>
  </si>
  <si>
    <t xml:space="preserve">Ổn định </t>
  </si>
  <si>
    <t>Cần cải thiện</t>
  </si>
  <si>
    <t xml:space="preserve">Nguyễn Văn A học 10h, Zoom 4 buổi, nộp 6 bài </t>
  </si>
  <si>
    <t>Trần Thị B học 6h, Zoom 3 buổi, nộp 4 bài</t>
  </si>
  <si>
    <t>Lê Minh C học 4h, Zoom 2 buổi, nộp 3 bài</t>
  </si>
  <si>
    <t>Phạm Hữu D học 8h, Zoom 3 buổi, nộp 5 bài</t>
  </si>
  <si>
    <t>Võ Hoàng E học 11h, Zoom 5 buổi, nộp 7 bài</t>
  </si>
  <si>
    <t>Nguyễn Mai F học 5h, Zoom 1 buổi, nộp 2 bài</t>
  </si>
  <si>
    <t>Lưu Hương G học 9h, Zoom 3 buổi, nộp 6 bài</t>
  </si>
  <si>
    <t>Tô Văn H học 3h, Zoom 2 buổi, nộp 1 bài</t>
  </si>
  <si>
    <t>Phan Quốc I học 7h, Zoom 3 buổi, nộp 4 bài</t>
  </si>
  <si>
    <t>Đào Quỳnh J học 12h, Zoom 4 buổi, nộp 7 bài</t>
  </si>
  <si>
    <t>Nguyễn Khánh H học 6h, Zoom 2 buổi, nộp 3 bài</t>
  </si>
  <si>
    <t>Trịnh Hữu L học 10h, Zoom 4 buổi, nộp 6 bài</t>
  </si>
  <si>
    <t>Mai Hoàng M học 4h, Zoom 1 buổi, nộp 2 bài</t>
  </si>
  <si>
    <t>Hồ Thanh N học 9h, Zoom 3 buổi, nộp 5 bài</t>
  </si>
  <si>
    <t>Vũ Bảo O học 8h, Zoom 3 buổi, nộp 6 bài</t>
  </si>
  <si>
    <t>Lê Hữu P học 5h, Zoom 2 buổi, nộp 2 bài</t>
  </si>
  <si>
    <t>Đình Mai Q học 11h, Zoom 5 buổi, nộp 7 bài</t>
  </si>
  <si>
    <t>Trần Văn R học 7h, Zoom 3 buổi, nộp 4 bài</t>
  </si>
  <si>
    <t>Phạm Thị S học 6h, Zoom 2 buổi, nộp 4 bài</t>
  </si>
  <si>
    <t>Nguyễn Xuân T học 10h, Zoom 4 buổi, nộp 6 bài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</si>
</sst>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mc03@example.com" TargetMode="External"/><Relationship Id="rId2" Type="http://schemas.openxmlformats.org/officeDocument/2006/relationships/hyperlink" Target="mailto:ttb02@example.com" TargetMode="External"/><Relationship Id="rId1" Type="http://schemas.openxmlformats.org/officeDocument/2006/relationships/hyperlink" Target="mailto:nva01@example.com" TargetMode="External"/><Relationship Id="rId6" Type="http://schemas.openxmlformats.org/officeDocument/2006/relationships/hyperlink" Target="mailto:&#273;qj010@example.com" TargetMode="External"/><Relationship Id="rId5" Type="http://schemas.openxmlformats.org/officeDocument/2006/relationships/hyperlink" Target="mailto:lmc03@example.com" TargetMode="External"/><Relationship Id="rId4" Type="http://schemas.openxmlformats.org/officeDocument/2006/relationships/hyperlink" Target="mailto:&#273;qj01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F440-29E1-44D0-9669-721D7917103E}">
  <dimension ref="A1:K21"/>
  <sheetViews>
    <sheetView tabSelected="1" workbookViewId="0">
      <selection activeCell="E28" sqref="E27:E28"/>
    </sheetView>
  </sheetViews>
  <sheetFormatPr defaultRowHeight="14.4" x14ac:dyDescent="0.3"/>
  <cols>
    <col min="2" max="2" width="17.77734375" customWidth="1"/>
    <col min="3" max="3" width="11.33203125" customWidth="1"/>
    <col min="4" max="4" width="19.5546875" customWidth="1"/>
    <col min="5" max="5" width="13.6640625" customWidth="1"/>
    <col min="6" max="6" width="13" customWidth="1"/>
    <col min="7" max="7" width="11.33203125" customWidth="1"/>
    <col min="8" max="8" width="7.44140625" bestFit="1" customWidth="1"/>
    <col min="10" max="10" width="16" customWidth="1"/>
    <col min="11" max="11" width="38.1093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>
        <v>1</v>
      </c>
      <c r="B2" s="3" t="s">
        <v>11</v>
      </c>
      <c r="C2" s="3">
        <v>20241001</v>
      </c>
      <c r="D2" s="1">
        <f>LEN("nva01@example.com")</f>
        <v>17</v>
      </c>
      <c r="E2" s="3" t="s">
        <v>31</v>
      </c>
      <c r="F2" s="3">
        <v>10</v>
      </c>
      <c r="G2" s="3">
        <v>6</v>
      </c>
      <c r="H2" s="3">
        <v>16</v>
      </c>
      <c r="I2" s="3">
        <v>8.5</v>
      </c>
      <c r="J2" s="3" t="s">
        <v>34</v>
      </c>
      <c r="K2" s="3" t="s">
        <v>37</v>
      </c>
    </row>
    <row r="3" spans="1:11" x14ac:dyDescent="0.3">
      <c r="A3" s="3">
        <v>2</v>
      </c>
      <c r="B3" s="3" t="s">
        <v>12</v>
      </c>
      <c r="C3" s="3">
        <v>20241002</v>
      </c>
      <c r="D3" s="1">
        <f>LEN("ttb02@example.com")</f>
        <v>17</v>
      </c>
      <c r="E3" s="3" t="s">
        <v>31</v>
      </c>
      <c r="F3" s="3">
        <v>6</v>
      </c>
      <c r="G3" s="3">
        <v>4</v>
      </c>
      <c r="H3" s="3">
        <v>10.5</v>
      </c>
      <c r="I3" s="3">
        <v>7.2</v>
      </c>
      <c r="J3" s="3" t="s">
        <v>35</v>
      </c>
      <c r="K3" s="3" t="s">
        <v>38</v>
      </c>
    </row>
    <row r="4" spans="1:11" x14ac:dyDescent="0.3">
      <c r="A4" s="3">
        <v>3</v>
      </c>
      <c r="B4" s="3" t="s">
        <v>13</v>
      </c>
      <c r="C4" s="3">
        <v>20241003</v>
      </c>
      <c r="D4" s="1">
        <f>LEN("lmc03@example.com")</f>
        <v>17</v>
      </c>
      <c r="E4" s="3" t="s">
        <v>32</v>
      </c>
      <c r="F4" s="3">
        <v>4</v>
      </c>
      <c r="G4" s="3">
        <v>3</v>
      </c>
      <c r="H4" s="3">
        <v>7</v>
      </c>
      <c r="I4" s="3">
        <v>6.4</v>
      </c>
      <c r="J4" s="3" t="s">
        <v>36</v>
      </c>
      <c r="K4" s="3" t="s">
        <v>39</v>
      </c>
    </row>
    <row r="5" spans="1:11" x14ac:dyDescent="0.3">
      <c r="A5" s="3">
        <v>4</v>
      </c>
      <c r="B5" s="3" t="s">
        <v>14</v>
      </c>
      <c r="C5" s="3">
        <v>20241004</v>
      </c>
      <c r="D5" s="1">
        <f>LEN("phd04@example.com")</f>
        <v>17</v>
      </c>
      <c r="E5" s="3" t="s">
        <v>32</v>
      </c>
      <c r="F5" s="3">
        <v>8</v>
      </c>
      <c r="G5" s="3">
        <v>5</v>
      </c>
      <c r="H5" s="3">
        <v>12.5</v>
      </c>
      <c r="I5" s="3">
        <v>7.9</v>
      </c>
      <c r="J5" s="3" t="s">
        <v>35</v>
      </c>
      <c r="K5" s="3" t="s">
        <v>40</v>
      </c>
    </row>
    <row r="6" spans="1:11" x14ac:dyDescent="0.3">
      <c r="A6" s="3">
        <v>5</v>
      </c>
      <c r="B6" s="3" t="s">
        <v>15</v>
      </c>
      <c r="C6" s="3">
        <v>20241005</v>
      </c>
      <c r="D6" s="3">
        <f>LEN("vhe05@example.com")</f>
        <v>17</v>
      </c>
      <c r="E6" s="3" t="s">
        <v>33</v>
      </c>
      <c r="F6" s="3">
        <v>11</v>
      </c>
      <c r="G6" s="3">
        <v>7</v>
      </c>
      <c r="H6" s="3">
        <v>18.5</v>
      </c>
      <c r="I6" s="3">
        <v>8.8000000000000007</v>
      </c>
      <c r="J6" s="3" t="s">
        <v>34</v>
      </c>
      <c r="K6" s="3" t="s">
        <v>41</v>
      </c>
    </row>
    <row r="7" spans="1:11" x14ac:dyDescent="0.3">
      <c r="A7" s="3">
        <v>6</v>
      </c>
      <c r="B7" s="3" t="s">
        <v>16</v>
      </c>
      <c r="C7" s="3">
        <v>20241006</v>
      </c>
      <c r="D7" s="1">
        <f>LEN("nmf06@example.com")</f>
        <v>17</v>
      </c>
      <c r="E7" s="3" t="s">
        <v>33</v>
      </c>
      <c r="F7" s="3">
        <v>5</v>
      </c>
      <c r="G7" s="3">
        <v>2</v>
      </c>
      <c r="H7" s="3">
        <v>6.5</v>
      </c>
      <c r="I7" s="3">
        <v>5.9</v>
      </c>
      <c r="J7" s="3" t="s">
        <v>36</v>
      </c>
      <c r="K7" s="3" t="s">
        <v>42</v>
      </c>
    </row>
    <row r="8" spans="1:11" x14ac:dyDescent="0.3">
      <c r="A8" s="3">
        <v>7</v>
      </c>
      <c r="B8" s="3" t="s">
        <v>17</v>
      </c>
      <c r="C8" s="3">
        <v>20241007</v>
      </c>
      <c r="D8" s="1">
        <f>LEN("lhg07@example.com")</f>
        <v>17</v>
      </c>
      <c r="E8" s="3" t="s">
        <v>31</v>
      </c>
      <c r="F8" s="3">
        <v>9</v>
      </c>
      <c r="G8" s="3">
        <v>6</v>
      </c>
      <c r="H8" s="3">
        <v>13.5</v>
      </c>
      <c r="I8" s="3">
        <v>7.5</v>
      </c>
      <c r="J8" s="3" t="s">
        <v>35</v>
      </c>
      <c r="K8" s="3" t="s">
        <v>43</v>
      </c>
    </row>
    <row r="9" spans="1:11" x14ac:dyDescent="0.3">
      <c r="A9" s="3">
        <v>8</v>
      </c>
      <c r="B9" s="3" t="s">
        <v>18</v>
      </c>
      <c r="C9" s="3">
        <v>20241008</v>
      </c>
      <c r="D9" s="1">
        <f>LEN("tvh08@example.com")</f>
        <v>17</v>
      </c>
      <c r="E9" s="3" t="s">
        <v>32</v>
      </c>
      <c r="F9" s="3">
        <v>3</v>
      </c>
      <c r="G9" s="3">
        <v>1</v>
      </c>
      <c r="H9" s="3">
        <v>6</v>
      </c>
      <c r="I9" s="3">
        <v>5.0999999999999996</v>
      </c>
      <c r="J9" s="3" t="s">
        <v>36</v>
      </c>
      <c r="K9" s="3" t="s">
        <v>44</v>
      </c>
    </row>
    <row r="10" spans="1:11" x14ac:dyDescent="0.3">
      <c r="A10" s="3">
        <v>9</v>
      </c>
      <c r="B10" s="3" t="s">
        <v>19</v>
      </c>
      <c r="C10" s="3">
        <v>20241009</v>
      </c>
      <c r="D10" s="1">
        <f>LEN("pqi09@example.com")</f>
        <v>17</v>
      </c>
      <c r="E10" s="3" t="s">
        <v>33</v>
      </c>
      <c r="F10" s="3">
        <v>7</v>
      </c>
      <c r="G10" s="3">
        <v>4</v>
      </c>
      <c r="H10" s="3">
        <v>11.5</v>
      </c>
      <c r="I10" s="3">
        <v>6.8</v>
      </c>
      <c r="J10" s="3" t="s">
        <v>35</v>
      </c>
      <c r="K10" s="3" t="s">
        <v>45</v>
      </c>
    </row>
    <row r="11" spans="1:11" x14ac:dyDescent="0.3">
      <c r="A11" s="3">
        <v>10</v>
      </c>
      <c r="B11" s="3" t="s">
        <v>20</v>
      </c>
      <c r="C11" s="3">
        <v>20241010</v>
      </c>
      <c r="D11" s="1">
        <f>LEN("dqj10@example.com")</f>
        <v>17</v>
      </c>
      <c r="E11" s="3" t="s">
        <v>31</v>
      </c>
      <c r="F11" s="3">
        <v>12</v>
      </c>
      <c r="G11" s="3">
        <v>7</v>
      </c>
      <c r="H11" s="3">
        <v>18</v>
      </c>
      <c r="I11" s="3">
        <v>8.3000000000000007</v>
      </c>
      <c r="J11" s="3" t="s">
        <v>34</v>
      </c>
      <c r="K11" s="3" t="s">
        <v>46</v>
      </c>
    </row>
    <row r="12" spans="1:11" x14ac:dyDescent="0.3">
      <c r="A12" s="3">
        <v>11</v>
      </c>
      <c r="B12" s="3" t="s">
        <v>21</v>
      </c>
      <c r="C12" s="3">
        <v>20241011</v>
      </c>
      <c r="D12" s="1">
        <f>LEN("nkh11@example.com")</f>
        <v>17</v>
      </c>
      <c r="E12" s="3" t="s">
        <v>32</v>
      </c>
      <c r="F12" s="3">
        <v>6</v>
      </c>
      <c r="G12" s="3">
        <v>3</v>
      </c>
      <c r="H12" s="3">
        <v>9</v>
      </c>
      <c r="I12" s="3">
        <v>6.1</v>
      </c>
      <c r="J12" s="3" t="s">
        <v>36</v>
      </c>
      <c r="K12" s="3" t="s">
        <v>47</v>
      </c>
    </row>
    <row r="13" spans="1:11" x14ac:dyDescent="0.3">
      <c r="A13" s="3">
        <v>12</v>
      </c>
      <c r="B13" s="3" t="s">
        <v>22</v>
      </c>
      <c r="C13" s="3">
        <v>20241012</v>
      </c>
      <c r="D13" s="1">
        <f>LEN("thl12@example.com")</f>
        <v>17</v>
      </c>
      <c r="E13" s="3" t="s">
        <v>33</v>
      </c>
      <c r="F13" s="3">
        <v>10</v>
      </c>
      <c r="G13" s="3">
        <v>6</v>
      </c>
      <c r="H13" s="3">
        <v>16</v>
      </c>
      <c r="I13" s="3">
        <v>7.7</v>
      </c>
      <c r="J13" s="3" t="s">
        <v>34</v>
      </c>
      <c r="K13" s="3" t="s">
        <v>48</v>
      </c>
    </row>
    <row r="14" spans="1:11" x14ac:dyDescent="0.3">
      <c r="A14" s="3">
        <v>13</v>
      </c>
      <c r="B14" s="3" t="s">
        <v>23</v>
      </c>
      <c r="C14" s="3">
        <v>20241013</v>
      </c>
      <c r="D14" s="1">
        <f>LEN("mhm13@example.com")</f>
        <v>17</v>
      </c>
      <c r="E14" s="3" t="s">
        <v>31</v>
      </c>
      <c r="F14" s="3">
        <v>4</v>
      </c>
      <c r="G14" s="3">
        <v>2</v>
      </c>
      <c r="H14" s="3">
        <v>5.5</v>
      </c>
      <c r="I14" s="3">
        <v>5.8</v>
      </c>
      <c r="J14" s="3" t="s">
        <v>36</v>
      </c>
      <c r="K14" s="3" t="s">
        <v>49</v>
      </c>
    </row>
    <row r="15" spans="1:11" x14ac:dyDescent="0.3">
      <c r="A15" s="3">
        <v>14</v>
      </c>
      <c r="B15" s="3" t="s">
        <v>24</v>
      </c>
      <c r="C15" s="3">
        <v>20241014</v>
      </c>
      <c r="D15" s="1">
        <f>LEN("htn14@example.com")</f>
        <v>17</v>
      </c>
      <c r="E15" s="3" t="s">
        <v>32</v>
      </c>
      <c r="F15" s="3">
        <v>9</v>
      </c>
      <c r="G15" s="3">
        <v>5</v>
      </c>
      <c r="H15" s="3">
        <v>13.5</v>
      </c>
      <c r="I15" s="3">
        <v>7.9</v>
      </c>
      <c r="J15" s="3" t="s">
        <v>35</v>
      </c>
      <c r="K15" s="3" t="s">
        <v>50</v>
      </c>
    </row>
    <row r="16" spans="1:11" x14ac:dyDescent="0.3">
      <c r="A16" s="3">
        <v>15</v>
      </c>
      <c r="B16" s="3" t="s">
        <v>25</v>
      </c>
      <c r="C16" s="3">
        <v>20241015</v>
      </c>
      <c r="D16" s="1">
        <f>LEN("vbo15@example.com")</f>
        <v>17</v>
      </c>
      <c r="E16" s="3" t="s">
        <v>33</v>
      </c>
      <c r="F16" s="3">
        <v>8</v>
      </c>
      <c r="G16" s="3">
        <v>6</v>
      </c>
      <c r="H16" s="3">
        <v>12.5</v>
      </c>
      <c r="I16" s="3">
        <v>7.6</v>
      </c>
      <c r="J16" s="3" t="s">
        <v>35</v>
      </c>
      <c r="K16" s="3" t="s">
        <v>51</v>
      </c>
    </row>
    <row r="17" spans="1:11" x14ac:dyDescent="0.3">
      <c r="A17" s="3">
        <v>16</v>
      </c>
      <c r="B17" s="3" t="s">
        <v>26</v>
      </c>
      <c r="C17" s="3">
        <v>20241016</v>
      </c>
      <c r="D17" s="1">
        <f>LEN("lhp16@example.com")</f>
        <v>17</v>
      </c>
      <c r="E17" s="3" t="s">
        <v>32</v>
      </c>
      <c r="F17" s="3">
        <v>5</v>
      </c>
      <c r="G17" s="3">
        <v>2</v>
      </c>
      <c r="H17" s="3">
        <v>8</v>
      </c>
      <c r="I17" s="3">
        <v>6</v>
      </c>
      <c r="J17" s="3" t="s">
        <v>36</v>
      </c>
      <c r="K17" s="3" t="s">
        <v>52</v>
      </c>
    </row>
    <row r="18" spans="1:11" x14ac:dyDescent="0.3">
      <c r="A18" s="3">
        <v>17</v>
      </c>
      <c r="B18" s="3" t="s">
        <v>27</v>
      </c>
      <c r="C18" s="3">
        <v>20241017</v>
      </c>
      <c r="D18" s="1">
        <f>LEN("dmq18@example.com")</f>
        <v>17</v>
      </c>
      <c r="E18" s="3" t="s">
        <v>31</v>
      </c>
      <c r="F18" s="3">
        <v>11</v>
      </c>
      <c r="G18" s="3">
        <v>7</v>
      </c>
      <c r="H18" s="3">
        <v>18.5</v>
      </c>
      <c r="I18" s="3">
        <v>9</v>
      </c>
      <c r="J18" s="3" t="s">
        <v>34</v>
      </c>
      <c r="K18" s="3" t="s">
        <v>53</v>
      </c>
    </row>
    <row r="19" spans="1:11" x14ac:dyDescent="0.3">
      <c r="A19" s="3">
        <v>18</v>
      </c>
      <c r="B19" s="3" t="s">
        <v>28</v>
      </c>
      <c r="C19" s="3">
        <v>20241018</v>
      </c>
      <c r="D19" s="1">
        <f>LEN("tvr17@example.com")</f>
        <v>17</v>
      </c>
      <c r="E19" s="3" t="s">
        <v>32</v>
      </c>
      <c r="F19" s="3">
        <v>7</v>
      </c>
      <c r="G19" s="3">
        <v>4</v>
      </c>
      <c r="H19" s="3">
        <v>11.5</v>
      </c>
      <c r="I19" s="3">
        <v>6.9</v>
      </c>
      <c r="J19" s="3" t="s">
        <v>35</v>
      </c>
      <c r="K19" s="3" t="s">
        <v>54</v>
      </c>
    </row>
    <row r="20" spans="1:11" x14ac:dyDescent="0.3">
      <c r="A20" s="3">
        <v>19</v>
      </c>
      <c r="B20" s="3" t="s">
        <v>29</v>
      </c>
      <c r="C20" s="3">
        <v>20241019</v>
      </c>
      <c r="D20" s="1">
        <f>LEN("pts19@example.com")</f>
        <v>17</v>
      </c>
      <c r="E20" s="3" t="s">
        <v>33</v>
      </c>
      <c r="F20" s="3">
        <v>6</v>
      </c>
      <c r="G20" s="3">
        <v>4</v>
      </c>
      <c r="H20" s="3">
        <v>9</v>
      </c>
      <c r="I20" s="3">
        <v>6.2</v>
      </c>
      <c r="J20" s="3" t="s">
        <v>36</v>
      </c>
      <c r="K20" s="3" t="s">
        <v>55</v>
      </c>
    </row>
    <row r="21" spans="1:11" x14ac:dyDescent="0.3">
      <c r="A21" s="3">
        <v>20</v>
      </c>
      <c r="B21" s="3" t="s">
        <v>30</v>
      </c>
      <c r="C21" s="3">
        <v>20241020</v>
      </c>
      <c r="D21" s="1">
        <f>LEN("nxt20@example.com")</f>
        <v>17</v>
      </c>
      <c r="E21" s="3" t="s">
        <v>31</v>
      </c>
      <c r="F21" s="3">
        <v>10</v>
      </c>
      <c r="G21" s="3">
        <v>6</v>
      </c>
      <c r="H21" s="3">
        <v>16</v>
      </c>
      <c r="I21" s="3">
        <v>8</v>
      </c>
      <c r="J21" s="3" t="s">
        <v>34</v>
      </c>
      <c r="K21" s="3" t="s">
        <v>56</v>
      </c>
    </row>
  </sheetData>
  <hyperlinks>
    <hyperlink ref="D2" r:id="rId1" display="nva01@example.com" xr:uid="{44B07039-8C5F-4503-B953-06974517EBCD}"/>
    <hyperlink ref="D3" r:id="rId2" display="ttb02@example.com" xr:uid="{C5A5C3BC-A013-44F4-A0B9-353FEBB76DF3}"/>
    <hyperlink ref="D4" r:id="rId3" display="lmc03@example.com" xr:uid="{02A1C718-AC29-4486-9B9C-317AED538BD9}"/>
    <hyperlink ref="D11" r:id="rId4" display="đqj010@example.com" xr:uid="{D67C198E-0249-4B78-A1E0-57CA87B89186}"/>
    <hyperlink ref="D5:D10" r:id="rId5" display="lmc03@example.com" xr:uid="{967347D9-840D-414D-93DA-5F8A966144EB}"/>
    <hyperlink ref="D12:D21" r:id="rId6" display="đqj010@example.com" xr:uid="{EA388DC8-2313-45F4-A7C5-F4639A3F99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Thành</dc:creator>
  <cp:lastModifiedBy>Hiếu Thành</cp:lastModifiedBy>
  <dcterms:created xsi:type="dcterms:W3CDTF">2025-10-02T01:18:13Z</dcterms:created>
  <dcterms:modified xsi:type="dcterms:W3CDTF">2025-10-02T02:43:03Z</dcterms:modified>
</cp:coreProperties>
</file>