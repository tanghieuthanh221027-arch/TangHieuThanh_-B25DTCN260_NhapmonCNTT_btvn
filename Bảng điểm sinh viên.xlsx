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A0A92A15-EDAB-4131-8F8C-53926875D1D5}" xr6:coauthVersionLast="47" xr6:coauthVersionMax="47" xr10:uidLastSave="{00000000-0000-0000-0000-000000000000}"/>
  <bookViews>
    <workbookView xWindow="-108" yWindow="-108" windowWidth="23256" windowHeight="12456" xr2:uid="{F459EAA0-1A17-42B8-8642-B486013AC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O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<sst xmlns="http://schemas.openxmlformats.org/spreadsheetml/2006/main" count="54" uniqueCount="35">
  <si>
    <t xml:space="preserve">Họ tên </t>
  </si>
  <si>
    <t xml:space="preserve">MSSV </t>
  </si>
  <si>
    <t xml:space="preserve">Câu 1 </t>
  </si>
  <si>
    <t>Câu 2</t>
  </si>
  <si>
    <t>Câu 3</t>
  </si>
  <si>
    <t>Câu 4</t>
  </si>
  <si>
    <t>Câu 5</t>
  </si>
  <si>
    <t xml:space="preserve">Tổng điểm </t>
  </si>
  <si>
    <t xml:space="preserve">Tỉ lệ đúng </t>
  </si>
  <si>
    <t xml:space="preserve">Ghi chú </t>
  </si>
  <si>
    <t xml:space="preserve">Sinh viên 1 </t>
  </si>
  <si>
    <t>Sinh viên 2</t>
  </si>
  <si>
    <t>Sinh viên 3</t>
  </si>
  <si>
    <t>Sinh viên 4</t>
  </si>
  <si>
    <t>Sinh viên 5</t>
  </si>
  <si>
    <t>Sinh viên 6</t>
  </si>
  <si>
    <t>Sinh viên 7</t>
  </si>
  <si>
    <t>Sinh viên 8</t>
  </si>
  <si>
    <t>Sinh viên 9</t>
  </si>
  <si>
    <t>Sinh viên 10</t>
  </si>
  <si>
    <t>Sinh viên 11</t>
  </si>
  <si>
    <t>Sinh viên 12</t>
  </si>
  <si>
    <t>Sinh viên 13</t>
  </si>
  <si>
    <t>Sinh viên 14</t>
  </si>
  <si>
    <t>Sinh viên 15</t>
  </si>
  <si>
    <t>Sinh viên 16</t>
  </si>
  <si>
    <t>Sinh viên 17</t>
  </si>
  <si>
    <t>Sinh viên 18</t>
  </si>
  <si>
    <t>Sinh viên 19</t>
  </si>
  <si>
    <t>Sinh viên 20</t>
  </si>
  <si>
    <t xml:space="preserve">Lớp </t>
  </si>
  <si>
    <t>Loại đánh giá</t>
  </si>
  <si>
    <t>DD2B</t>
  </si>
  <si>
    <t>Điểm cao nhất</t>
  </si>
  <si>
    <t xml:space="preserve">Điểm thấp nhất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</si>
</sst>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Tổng điểm theo sinh viên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Sheet1!$I$2:$I$21</c:f>
              <c:numCache>
                <c:formatCode>General</c:formatCode>
                <c:ptCount val="20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4962-A7B4-2F97D1CE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30655"/>
        <c:axId val="116321535"/>
      </c:barChart>
      <c:catAx>
        <c:axId val="11633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1535"/>
        <c:crosses val="autoZero"/>
        <c:auto val="1"/>
        <c:lblAlgn val="ctr"/>
        <c:lblOffset val="100"/>
        <c:noMultiLvlLbl val="0"/>
      </c:catAx>
      <c:valAx>
        <c:axId val="11632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3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213360</xdr:colOff>
      <xdr:row>6</xdr:row>
      <xdr:rowOff>19050</xdr:rowOff>
    </xdr:from>
    <xdr:to>
      <xdr:col>18</xdr:col>
      <xdr:colOff>579120</xdr:colOff>
      <xdr:row>21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AE2F1B-5038-6F9B-3033-18F1B7B85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E9B3-000B-406A-8844-84B9470CB119}">
  <dimension ref="A1:O21"/>
  <sheetViews>
    <sheetView tabSelected="1" topLeftCell="B1" workbookViewId="0">
      <selection activeCell="L3" sqref="L3"/>
    </sheetView>
  </sheetViews>
  <sheetFormatPr defaultRowHeight="14.4" x14ac:dyDescent="0.3"/>
  <cols>
    <col min="1" max="1" width="12.33203125" customWidth="1"/>
    <col min="8" max="8" width="11.5546875" customWidth="1"/>
    <col min="9" max="9" width="11.44140625" customWidth="1"/>
    <col min="10" max="10" width="13" customWidth="1"/>
    <col min="11" max="11" width="12.88671875" customWidth="1"/>
    <col min="12" max="12" width="33.21875" customWidth="1"/>
    <col min="14" max="14" width="12.44140625" customWidth="1"/>
    <col min="15" max="15" width="13.33203125" customWidth="1"/>
  </cols>
  <sheetData>
    <row r="1" spans="1:15" x14ac:dyDescent="0.3">
      <c r="A1" s="1" t="s">
        <v>0</v>
      </c>
      <c r="B1" s="1" t="s">
        <v>1</v>
      </c>
      <c r="C1" s="1" t="s">
        <v>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31</v>
      </c>
      <c r="L1" s="1" t="s">
        <v>9</v>
      </c>
      <c r="N1" s="1" t="s">
        <v>33</v>
      </c>
      <c r="O1" s="1" t="s">
        <v>34</v>
      </c>
    </row>
    <row r="2" spans="1:15" x14ac:dyDescent="0.3">
      <c r="A2" s="1" t="s">
        <v>10</v>
      </c>
      <c r="B2" s="1">
        <v>2210001</v>
      </c>
      <c r="C2" s="1" t="s">
        <v>32</v>
      </c>
      <c r="D2" s="1">
        <v>1</v>
      </c>
      <c r="E2" s="1">
        <v>1</v>
      </c>
      <c r="F2" s="1">
        <v>1</v>
      </c>
      <c r="G2" s="1">
        <v>0</v>
      </c>
      <c r="H2" s="1">
        <v>1</v>
      </c>
      <c r="I2" s="1">
        <f>SUM(D2:H2)</f>
        <v>4</v>
      </c>
      <c r="J2" s="1">
        <f>COUNTIF(D2:H2,1)/5*100</f>
        <v>80</v>
      </c>
      <c r="K2" s="1" t="str">
        <f>IF(I2&gt;=4, "Tốt",IF(I2&gt;=3, "Khá", "Yếu"))</f>
        <v>Tốt</v>
      </c>
      <c r="L2" s="1" t="str">
        <f>_xlfn.CONCAT(A2,"(",B2,")-Đúng",J2,"%.")</f>
        <v>Sinh viên 1 (2210001)-Đúng80%.</v>
      </c>
      <c r="N2" s="1">
        <f>MAX(I2:I21)</f>
        <v>4</v>
      </c>
      <c r="O2" s="1">
        <f>MIN(I2:I21)</f>
        <v>0</v>
      </c>
    </row>
    <row r="3" spans="1:15" x14ac:dyDescent="0.3">
      <c r="A3" s="1" t="s">
        <v>11</v>
      </c>
      <c r="B3" s="1">
        <v>2210002</v>
      </c>
      <c r="C3" s="1" t="s">
        <v>32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f t="shared" ref="I3:I21" si="0">SUM(D3:H3)</f>
        <v>0</v>
      </c>
      <c r="J3" s="1">
        <f t="shared" ref="J3:J21" si="1">COUNTIF(D3:H3,1)/5*100</f>
        <v>0</v>
      </c>
      <c r="K3" s="1" t="str">
        <f t="shared" ref="K3:K21" si="2">IF(I3&gt;=4, "Tốt",IF(I3&gt;=3, "Khá", "Yếu"))</f>
        <v>Yếu</v>
      </c>
      <c r="L3" s="1" t="str">
        <f t="shared" ref="L3:L21" si="3">_xlfn.CONCAT(A3,"(",B3,")-Đúng",J3,"%.")</f>
        <v>Sinh viên 2(2210002)-Đúng0%.</v>
      </c>
    </row>
    <row r="4" spans="1:15" x14ac:dyDescent="0.3">
      <c r="A4" s="1" t="s">
        <v>12</v>
      </c>
      <c r="B4" s="1">
        <v>2210003</v>
      </c>
      <c r="C4" s="1" t="s">
        <v>32</v>
      </c>
      <c r="D4" s="1">
        <v>1</v>
      </c>
      <c r="E4" s="1">
        <v>0</v>
      </c>
      <c r="F4" s="1">
        <v>1</v>
      </c>
      <c r="G4" s="1">
        <v>0</v>
      </c>
      <c r="H4" s="1">
        <v>1</v>
      </c>
      <c r="I4" s="1">
        <f t="shared" si="0"/>
        <v>3</v>
      </c>
      <c r="J4" s="1">
        <f t="shared" si="1"/>
        <v>60</v>
      </c>
      <c r="K4" s="1" t="str">
        <f t="shared" si="2"/>
        <v>Khá</v>
      </c>
      <c r="L4" s="1" t="str">
        <f t="shared" si="3"/>
        <v>Sinh viên 3(2210003)-Đúng60%.</v>
      </c>
    </row>
    <row r="5" spans="1:15" x14ac:dyDescent="0.3">
      <c r="A5" s="1" t="s">
        <v>13</v>
      </c>
      <c r="B5" s="1">
        <v>2210004</v>
      </c>
      <c r="C5" s="1" t="s">
        <v>32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f t="shared" si="0"/>
        <v>2</v>
      </c>
      <c r="J5" s="1">
        <f t="shared" si="1"/>
        <v>40</v>
      </c>
      <c r="K5" s="1" t="str">
        <f t="shared" si="2"/>
        <v>Yếu</v>
      </c>
      <c r="L5" s="1" t="str">
        <f t="shared" si="3"/>
        <v>Sinh viên 4(2210004)-Đúng40%.</v>
      </c>
    </row>
    <row r="6" spans="1:15" x14ac:dyDescent="0.3">
      <c r="A6" s="1" t="s">
        <v>14</v>
      </c>
      <c r="B6" s="1">
        <v>2210005</v>
      </c>
      <c r="C6" s="1" t="s">
        <v>32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I6" s="1">
        <f t="shared" si="0"/>
        <v>4</v>
      </c>
      <c r="J6" s="1">
        <f t="shared" si="1"/>
        <v>80</v>
      </c>
      <c r="K6" s="1" t="str">
        <f t="shared" si="2"/>
        <v>Tốt</v>
      </c>
      <c r="L6" s="1" t="str">
        <f t="shared" si="3"/>
        <v>Sinh viên 5(2210005)-Đúng80%.</v>
      </c>
    </row>
    <row r="7" spans="1:15" x14ac:dyDescent="0.3">
      <c r="A7" s="1" t="s">
        <v>15</v>
      </c>
      <c r="B7" s="1">
        <v>2210006</v>
      </c>
      <c r="C7" s="1" t="s">
        <v>32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f t="shared" si="0"/>
        <v>2</v>
      </c>
      <c r="J7" s="1">
        <f t="shared" si="1"/>
        <v>40</v>
      </c>
      <c r="K7" s="1" t="str">
        <f t="shared" si="2"/>
        <v>Yếu</v>
      </c>
      <c r="L7" s="1" t="str">
        <f t="shared" si="3"/>
        <v>Sinh viên 6(2210006)-Đúng40%.</v>
      </c>
    </row>
    <row r="8" spans="1:15" x14ac:dyDescent="0.3">
      <c r="A8" s="1" t="s">
        <v>16</v>
      </c>
      <c r="B8" s="1">
        <v>2210007</v>
      </c>
      <c r="C8" s="1" t="s">
        <v>32</v>
      </c>
      <c r="D8" s="1">
        <v>1</v>
      </c>
      <c r="E8" s="1">
        <v>0</v>
      </c>
      <c r="F8" s="1">
        <v>1</v>
      </c>
      <c r="G8" s="1">
        <v>1</v>
      </c>
      <c r="H8" s="1">
        <v>1</v>
      </c>
      <c r="I8" s="1">
        <f t="shared" si="0"/>
        <v>4</v>
      </c>
      <c r="J8" s="1">
        <f t="shared" si="1"/>
        <v>80</v>
      </c>
      <c r="K8" s="1" t="str">
        <f t="shared" si="2"/>
        <v>Tốt</v>
      </c>
      <c r="L8" s="1" t="str">
        <f t="shared" si="3"/>
        <v>Sinh viên 7(2210007)-Đúng80%.</v>
      </c>
    </row>
    <row r="9" spans="1:15" x14ac:dyDescent="0.3">
      <c r="A9" s="1" t="s">
        <v>17</v>
      </c>
      <c r="B9" s="1">
        <v>2210008</v>
      </c>
      <c r="C9" s="1" t="s">
        <v>32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f t="shared" si="0"/>
        <v>0</v>
      </c>
      <c r="J9" s="1">
        <f t="shared" si="1"/>
        <v>0</v>
      </c>
      <c r="K9" s="1" t="str">
        <f t="shared" si="2"/>
        <v>Yếu</v>
      </c>
      <c r="L9" s="1" t="str">
        <f t="shared" si="3"/>
        <v>Sinh viên 8(2210008)-Đúng0%.</v>
      </c>
    </row>
    <row r="10" spans="1:15" x14ac:dyDescent="0.3">
      <c r="A10" s="1" t="s">
        <v>18</v>
      </c>
      <c r="B10" s="1">
        <v>2210009</v>
      </c>
      <c r="C10" s="1" t="s">
        <v>32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f t="shared" si="0"/>
        <v>2</v>
      </c>
      <c r="J10" s="1">
        <f t="shared" si="1"/>
        <v>40</v>
      </c>
      <c r="K10" s="1" t="str">
        <f t="shared" si="2"/>
        <v>Yếu</v>
      </c>
      <c r="L10" s="1" t="str">
        <f t="shared" si="3"/>
        <v>Sinh viên 9(2210009)-Đúng40%.</v>
      </c>
    </row>
    <row r="11" spans="1:15" x14ac:dyDescent="0.3">
      <c r="A11" s="1" t="s">
        <v>19</v>
      </c>
      <c r="B11" s="1">
        <v>2210010</v>
      </c>
      <c r="C11" s="1" t="s">
        <v>32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f t="shared" si="0"/>
        <v>2</v>
      </c>
      <c r="J11" s="1">
        <f t="shared" si="1"/>
        <v>40</v>
      </c>
      <c r="K11" s="1" t="str">
        <f t="shared" si="2"/>
        <v>Yếu</v>
      </c>
      <c r="L11" s="1" t="str">
        <f t="shared" si="3"/>
        <v>Sinh viên 10(2210010)-Đúng40%.</v>
      </c>
    </row>
    <row r="12" spans="1:15" x14ac:dyDescent="0.3">
      <c r="A12" s="1" t="s">
        <v>20</v>
      </c>
      <c r="B12" s="1">
        <v>2210011</v>
      </c>
      <c r="C12" s="1" t="s">
        <v>32</v>
      </c>
      <c r="D12" s="1">
        <v>1</v>
      </c>
      <c r="E12" s="1">
        <v>1</v>
      </c>
      <c r="F12" s="1">
        <v>0</v>
      </c>
      <c r="G12" s="1">
        <v>0</v>
      </c>
      <c r="H12" s="1">
        <v>1</v>
      </c>
      <c r="I12" s="1">
        <f t="shared" si="0"/>
        <v>3</v>
      </c>
      <c r="J12" s="1">
        <f t="shared" si="1"/>
        <v>60</v>
      </c>
      <c r="K12" s="1" t="str">
        <f t="shared" si="2"/>
        <v>Khá</v>
      </c>
      <c r="L12" s="1" t="str">
        <f t="shared" si="3"/>
        <v>Sinh viên 11(2210011)-Đúng60%.</v>
      </c>
    </row>
    <row r="13" spans="1:15" x14ac:dyDescent="0.3">
      <c r="A13" s="1" t="s">
        <v>21</v>
      </c>
      <c r="B13" s="1">
        <v>2210012</v>
      </c>
      <c r="C13" s="1" t="s">
        <v>32</v>
      </c>
      <c r="D13" s="1">
        <v>0</v>
      </c>
      <c r="E13" s="1">
        <v>0</v>
      </c>
      <c r="F13" s="1">
        <v>0</v>
      </c>
      <c r="G13" s="1">
        <v>0</v>
      </c>
      <c r="H13" s="1">
        <v>1</v>
      </c>
      <c r="I13" s="1">
        <f t="shared" si="0"/>
        <v>1</v>
      </c>
      <c r="J13" s="1">
        <f t="shared" si="1"/>
        <v>20</v>
      </c>
      <c r="K13" s="1" t="str">
        <f t="shared" si="2"/>
        <v>Yếu</v>
      </c>
      <c r="L13" s="1" t="str">
        <f t="shared" si="3"/>
        <v>Sinh viên 12(2210012)-Đúng20%.</v>
      </c>
    </row>
    <row r="14" spans="1:15" x14ac:dyDescent="0.3">
      <c r="A14" s="1" t="s">
        <v>22</v>
      </c>
      <c r="B14" s="1">
        <v>2210013</v>
      </c>
      <c r="C14" s="1" t="s">
        <v>32</v>
      </c>
      <c r="D14" s="1">
        <v>0</v>
      </c>
      <c r="E14" s="1">
        <v>0</v>
      </c>
      <c r="F14" s="1">
        <v>0</v>
      </c>
      <c r="G14" s="1">
        <v>1</v>
      </c>
      <c r="H14" s="1">
        <v>0</v>
      </c>
      <c r="I14" s="1">
        <f t="shared" si="0"/>
        <v>1</v>
      </c>
      <c r="J14" s="1">
        <f t="shared" si="1"/>
        <v>20</v>
      </c>
      <c r="K14" s="1" t="str">
        <f t="shared" si="2"/>
        <v>Yếu</v>
      </c>
      <c r="L14" s="1" t="str">
        <f t="shared" si="3"/>
        <v>Sinh viên 13(2210013)-Đúng20%.</v>
      </c>
    </row>
    <row r="15" spans="1:15" x14ac:dyDescent="0.3">
      <c r="A15" s="1" t="s">
        <v>23</v>
      </c>
      <c r="B15" s="1">
        <v>2210014</v>
      </c>
      <c r="C15" s="1" t="s">
        <v>32</v>
      </c>
      <c r="D15" s="1">
        <v>0</v>
      </c>
      <c r="E15" s="1">
        <v>0</v>
      </c>
      <c r="F15" s="1">
        <v>1</v>
      </c>
      <c r="G15" s="1">
        <v>1</v>
      </c>
      <c r="H15" s="1">
        <v>0</v>
      </c>
      <c r="I15" s="1">
        <f t="shared" si="0"/>
        <v>2</v>
      </c>
      <c r="J15" s="1">
        <f t="shared" si="1"/>
        <v>40</v>
      </c>
      <c r="K15" s="1" t="str">
        <f t="shared" si="2"/>
        <v>Yếu</v>
      </c>
      <c r="L15" s="1" t="str">
        <f t="shared" si="3"/>
        <v>Sinh viên 14(2210014)-Đúng40%.</v>
      </c>
    </row>
    <row r="16" spans="1:15" x14ac:dyDescent="0.3">
      <c r="A16" s="1" t="s">
        <v>24</v>
      </c>
      <c r="B16" s="1">
        <v>2210015</v>
      </c>
      <c r="C16" s="1" t="s">
        <v>32</v>
      </c>
      <c r="D16" s="1">
        <v>0</v>
      </c>
      <c r="E16" s="1">
        <v>1</v>
      </c>
      <c r="F16" s="1">
        <v>1</v>
      </c>
      <c r="G16" s="1">
        <v>1</v>
      </c>
      <c r="H16" s="1">
        <v>0</v>
      </c>
      <c r="I16" s="1">
        <f t="shared" si="0"/>
        <v>3</v>
      </c>
      <c r="J16" s="1">
        <f t="shared" si="1"/>
        <v>60</v>
      </c>
      <c r="K16" s="1" t="str">
        <f t="shared" si="2"/>
        <v>Khá</v>
      </c>
      <c r="L16" s="1" t="str">
        <f t="shared" si="3"/>
        <v>Sinh viên 15(2210015)-Đúng60%.</v>
      </c>
    </row>
    <row r="17" spans="1:12" x14ac:dyDescent="0.3">
      <c r="A17" s="1" t="s">
        <v>25</v>
      </c>
      <c r="B17" s="1">
        <v>2210016</v>
      </c>
      <c r="C17" s="1" t="s">
        <v>32</v>
      </c>
      <c r="D17" s="1">
        <v>1</v>
      </c>
      <c r="E17" s="1">
        <v>1</v>
      </c>
      <c r="F17" s="1">
        <v>0</v>
      </c>
      <c r="G17" s="1">
        <v>0</v>
      </c>
      <c r="H17" s="1">
        <v>0</v>
      </c>
      <c r="I17" s="1">
        <f t="shared" si="0"/>
        <v>2</v>
      </c>
      <c r="J17" s="1">
        <f t="shared" si="1"/>
        <v>40</v>
      </c>
      <c r="K17" s="1" t="str">
        <f t="shared" si="2"/>
        <v>Yếu</v>
      </c>
      <c r="L17" s="1" t="str">
        <f t="shared" si="3"/>
        <v>Sinh viên 16(2210016)-Đúng40%.</v>
      </c>
    </row>
    <row r="18" spans="1:12" x14ac:dyDescent="0.3">
      <c r="A18" s="1" t="s">
        <v>26</v>
      </c>
      <c r="B18" s="1">
        <v>2210017</v>
      </c>
      <c r="C18" s="1" t="s">
        <v>32</v>
      </c>
      <c r="D18" s="1">
        <v>1</v>
      </c>
      <c r="E18" s="1">
        <v>0</v>
      </c>
      <c r="F18" s="1">
        <v>1</v>
      </c>
      <c r="G18" s="1">
        <v>0</v>
      </c>
      <c r="H18" s="1">
        <v>0</v>
      </c>
      <c r="I18" s="1">
        <f t="shared" si="0"/>
        <v>2</v>
      </c>
      <c r="J18" s="1">
        <f t="shared" si="1"/>
        <v>40</v>
      </c>
      <c r="K18" s="1" t="str">
        <f t="shared" si="2"/>
        <v>Yếu</v>
      </c>
      <c r="L18" s="1" t="str">
        <f t="shared" si="3"/>
        <v>Sinh viên 17(2210017)-Đúng40%.</v>
      </c>
    </row>
    <row r="19" spans="1:12" x14ac:dyDescent="0.3">
      <c r="A19" s="1" t="s">
        <v>27</v>
      </c>
      <c r="B19" s="1">
        <v>2210018</v>
      </c>
      <c r="C19" s="1" t="s">
        <v>32</v>
      </c>
      <c r="D19" s="1">
        <v>0</v>
      </c>
      <c r="E19" s="1">
        <v>0</v>
      </c>
      <c r="F19" s="1">
        <v>1</v>
      </c>
      <c r="G19" s="1">
        <v>1</v>
      </c>
      <c r="H19" s="1">
        <v>1</v>
      </c>
      <c r="I19" s="1">
        <f t="shared" si="0"/>
        <v>3</v>
      </c>
      <c r="J19" s="1">
        <f t="shared" si="1"/>
        <v>60</v>
      </c>
      <c r="K19" s="1" t="str">
        <f t="shared" si="2"/>
        <v>Khá</v>
      </c>
      <c r="L19" s="1" t="str">
        <f t="shared" si="3"/>
        <v>Sinh viên 18(2210018)-Đúng60%.</v>
      </c>
    </row>
    <row r="20" spans="1:12" x14ac:dyDescent="0.3">
      <c r="A20" s="1" t="s">
        <v>28</v>
      </c>
      <c r="B20" s="1">
        <v>2210019</v>
      </c>
      <c r="C20" s="1" t="s">
        <v>32</v>
      </c>
      <c r="D20" s="1">
        <v>1</v>
      </c>
      <c r="E20" s="1">
        <v>0</v>
      </c>
      <c r="F20" s="1">
        <v>1</v>
      </c>
      <c r="G20" s="1">
        <v>1</v>
      </c>
      <c r="H20" s="1">
        <v>1</v>
      </c>
      <c r="I20" s="1">
        <f t="shared" si="0"/>
        <v>4</v>
      </c>
      <c r="J20" s="1">
        <f t="shared" si="1"/>
        <v>80</v>
      </c>
      <c r="K20" s="1" t="str">
        <f t="shared" si="2"/>
        <v>Tốt</v>
      </c>
      <c r="L20" s="1" t="str">
        <f t="shared" si="3"/>
        <v>Sinh viên 19(2210019)-Đúng80%.</v>
      </c>
    </row>
    <row r="21" spans="1:12" x14ac:dyDescent="0.3">
      <c r="A21" s="1" t="s">
        <v>29</v>
      </c>
      <c r="B21" s="1">
        <v>2210020</v>
      </c>
      <c r="C21" s="1" t="s">
        <v>32</v>
      </c>
      <c r="D21" s="1">
        <v>0</v>
      </c>
      <c r="E21" s="1">
        <v>0</v>
      </c>
      <c r="F21" s="1">
        <v>1</v>
      </c>
      <c r="G21" s="1">
        <v>1</v>
      </c>
      <c r="H21" s="1">
        <v>1</v>
      </c>
      <c r="I21" s="1">
        <f t="shared" si="0"/>
        <v>3</v>
      </c>
      <c r="J21" s="1">
        <f t="shared" si="1"/>
        <v>60</v>
      </c>
      <c r="K21" s="1" t="str">
        <f t="shared" si="2"/>
        <v>Khá</v>
      </c>
      <c r="L21" s="1" t="str">
        <f t="shared" si="3"/>
        <v>Sinh viên 20(2210020)-Đúng60%.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Thành</dc:creator>
  <cp:lastModifiedBy>Hiếu Thành</cp:lastModifiedBy>
  <dcterms:created xsi:type="dcterms:W3CDTF">2025-10-10T01:02:01Z</dcterms:created>
  <dcterms:modified xsi:type="dcterms:W3CDTF">2025-10-10T02:29:44Z</dcterms:modified>
</cp:coreProperties>
</file>